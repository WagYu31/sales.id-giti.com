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X:\AULIA\"/>
    </mc:Choice>
  </mc:AlternateContent>
  <xr:revisionPtr revIDLastSave="0" documentId="13_ncr:1_{3FAC6C3C-2BB6-4AB7-8E25-AA1C3845E9F8}" xr6:coauthVersionLast="47" xr6:coauthVersionMax="47" xr10:uidLastSave="{00000000-0000-0000-0000-000000000000}"/>
  <bookViews>
    <workbookView xWindow="-120" yWindow="-120" windowWidth="29040" windowHeight="15840" xr2:uid="{81D61241-80D0-476F-81A9-C0B6FD600B6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45" i="1" l="1"/>
  <c r="F44" i="1"/>
  <c r="F43" i="1"/>
  <c r="F42" i="1"/>
  <c r="F41" i="1"/>
  <c r="F40" i="1"/>
  <c r="F34" i="1"/>
  <c r="F33" i="1"/>
  <c r="F32" i="1"/>
  <c r="F31" i="1"/>
  <c r="F30" i="1"/>
  <c r="F29" i="1"/>
  <c r="F23" i="1"/>
  <c r="F22" i="1"/>
  <c r="F21" i="1"/>
  <c r="F20" i="1"/>
  <c r="F19" i="1"/>
  <c r="F18" i="1"/>
  <c r="F11" i="1"/>
  <c r="F6" i="1"/>
  <c r="F7" i="1"/>
  <c r="F8" i="1"/>
  <c r="F9" i="1"/>
  <c r="F10" i="1"/>
  <c r="F5" i="1"/>
  <c r="F12" i="1" l="1"/>
  <c r="F24" i="1"/>
  <c r="F35" i="1"/>
  <c r="F46" i="1"/>
</calcChain>
</file>

<file path=xl/sharedStrings.xml><?xml version="1.0" encoding="utf-8"?>
<sst xmlns="http://schemas.openxmlformats.org/spreadsheetml/2006/main" count="74" uniqueCount="24">
  <si>
    <t>PRODUK</t>
  </si>
  <si>
    <t>Qty</t>
  </si>
  <si>
    <t>Harga</t>
  </si>
  <si>
    <t>Total</t>
  </si>
  <si>
    <t>LOEWIX #LX-10CE50 AHD CAMERA INDOOR 5MP 1/3" SENSOR SONY IMX335 CAT EYES</t>
  </si>
  <si>
    <t>LOEWIX DVR #LX-9504 5MP 4CH</t>
  </si>
  <si>
    <t>LOEWIX PSU 12V-60W 4CH</t>
  </si>
  <si>
    <t>HARDISK 1TB SURVILLANCE</t>
  </si>
  <si>
    <t xml:space="preserve">CONNECTOR BNC </t>
  </si>
  <si>
    <t>BIAYA INSTALASI</t>
  </si>
  <si>
    <t>UNIT</t>
  </si>
  <si>
    <t>NODE</t>
  </si>
  <si>
    <t xml:space="preserve">PAKET KAMERA 5 MP AHD 4 CHANNEL </t>
  </si>
  <si>
    <t>TOTAL</t>
  </si>
  <si>
    <t xml:space="preserve">PAKET KAMERA 5 MP IPCAM 4 CHANNEL </t>
  </si>
  <si>
    <t>LOEWIX #LX-5A12SM IP CAMERA INDOOR 5MP SMART LIGHT, MIC</t>
  </si>
  <si>
    <t>LOEWIX NVR 5MP 10CH #LX-NVR1908</t>
  </si>
  <si>
    <t>LOEWIX #LX-2104N POE SWITCH 4 PORT + 2 10/100</t>
  </si>
  <si>
    <t>CONNECTO MALE</t>
  </si>
  <si>
    <t>CONNECTOR RJ 45</t>
  </si>
  <si>
    <t xml:space="preserve">PAKET KAMERA 6 MP IPCAM 4 CHANNEL </t>
  </si>
  <si>
    <t>LOEWIX #LX-AI60IMX8G IP CAMERA INDOOR 6MP IMX335</t>
  </si>
  <si>
    <t xml:space="preserve">PAKET KAMERA 8 MP IPCAM 4 CHANNEL </t>
  </si>
  <si>
    <t>LOEWIX #LX-11GSA80IMX IP CAMERA INDOOR 8MP SONY IMX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</si>
</sst>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5">
    <xf numFmtId="0" fontId="0" fillId="0" borderId="0" xfId="0"/>
    <xf numFmtId="0" fontId="0" fillId="0" borderId="2" xfId="0" applyBorder="1"/>
    <xf numFmtId="164" fontId="0" fillId="0" borderId="3" xfId="1" applyNumberFormat="1" applyFont="1" applyBorder="1"/>
    <xf numFmtId="0" fontId="0" fillId="0" borderId="4" xfId="0" applyBorder="1"/>
    <xf numFmtId="164" fontId="0" fillId="0" borderId="5" xfId="1" applyNumberFormat="1" applyFont="1" applyBorder="1"/>
    <xf numFmtId="0" fontId="2" fillId="0" borderId="1" xfId="0" applyFont="1" applyBorder="1" applyAlignment="1">
      <alignment horizontal="center"/>
    </xf>
    <xf numFmtId="164" fontId="2" fillId="0" borderId="1" xfId="0" applyNumberFormat="1" applyFont="1" applyBorder="1"/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164" fontId="0" fillId="0" borderId="6" xfId="1" applyNumberFormat="1" applyFont="1" applyBorder="1"/>
    <xf numFmtId="164" fontId="0" fillId="0" borderId="7" xfId="1" applyNumberFormat="1" applyFont="1" applyBorder="1"/>
    <xf numFmtId="164" fontId="0" fillId="0" borderId="8" xfId="1" applyNumberFormat="1" applyFont="1" applyBorder="1"/>
    <xf numFmtId="0" fontId="2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C24AFF-401F-4E9A-9E83-5A6C34E9606C}">
  <dimension ref="B2:F46"/>
  <sheetViews>
    <sheetView tabSelected="1" workbookViewId="0">
      <selection activeCell="J53" sqref="J53"/>
    </sheetView>
  </sheetViews>
  <sheetFormatPr defaultRowHeight="15" x14ac:dyDescent="0.25"/>
  <cols>
    <col min="2" max="2" width="76.7109375" bestFit="1" customWidth="1"/>
    <col min="3" max="3" width="4.85546875" customWidth="1"/>
    <col min="4" max="4" width="6.140625" bestFit="1" customWidth="1"/>
    <col min="5" max="5" width="11.5703125" bestFit="1" customWidth="1"/>
    <col min="6" max="6" width="13.28515625" bestFit="1" customWidth="1"/>
  </cols>
  <sheetData>
    <row r="2" spans="2:6" ht="23.25" x14ac:dyDescent="0.35">
      <c r="B2" s="14" t="s">
        <v>12</v>
      </c>
      <c r="C2" s="14"/>
      <c r="D2" s="14"/>
      <c r="E2" s="14"/>
      <c r="F2" s="14"/>
    </row>
    <row r="4" spans="2:6" x14ac:dyDescent="0.25">
      <c r="B4" s="5" t="s">
        <v>0</v>
      </c>
      <c r="C4" s="13" t="s">
        <v>1</v>
      </c>
      <c r="D4" s="13"/>
      <c r="E4" s="5" t="s">
        <v>2</v>
      </c>
      <c r="F4" s="5" t="s">
        <v>3</v>
      </c>
    </row>
    <row r="5" spans="2:6" x14ac:dyDescent="0.25">
      <c r="B5" s="1" t="s">
        <v>4</v>
      </c>
      <c r="C5" s="7">
        <v>4</v>
      </c>
      <c r="D5" s="7" t="s">
        <v>10</v>
      </c>
      <c r="E5" s="10">
        <v>550000</v>
      </c>
      <c r="F5" s="2">
        <f>E5*C5</f>
        <v>2200000</v>
      </c>
    </row>
    <row r="6" spans="2:6" x14ac:dyDescent="0.25">
      <c r="B6" s="1" t="s">
        <v>5</v>
      </c>
      <c r="C6" s="8">
        <v>1</v>
      </c>
      <c r="D6" s="8" t="s">
        <v>10</v>
      </c>
      <c r="E6" s="11">
        <v>660000</v>
      </c>
      <c r="F6" s="2">
        <f t="shared" ref="F6:F11" si="0">E6*C6</f>
        <v>660000</v>
      </c>
    </row>
    <row r="7" spans="2:6" x14ac:dyDescent="0.25">
      <c r="B7" s="1" t="s">
        <v>6</v>
      </c>
      <c r="C7" s="8">
        <v>1</v>
      </c>
      <c r="D7" s="8" t="s">
        <v>10</v>
      </c>
      <c r="E7" s="11">
        <v>140000</v>
      </c>
      <c r="F7" s="2">
        <f t="shared" si="0"/>
        <v>140000</v>
      </c>
    </row>
    <row r="8" spans="2:6" x14ac:dyDescent="0.25">
      <c r="B8" s="1" t="s">
        <v>7</v>
      </c>
      <c r="C8" s="8">
        <v>1</v>
      </c>
      <c r="D8" s="8" t="s">
        <v>10</v>
      </c>
      <c r="E8" s="11">
        <v>850000</v>
      </c>
      <c r="F8" s="2">
        <f t="shared" si="0"/>
        <v>850000</v>
      </c>
    </row>
    <row r="9" spans="2:6" x14ac:dyDescent="0.25">
      <c r="B9" s="1" t="s">
        <v>8</v>
      </c>
      <c r="C9" s="8">
        <v>8</v>
      </c>
      <c r="D9" s="8" t="s">
        <v>10</v>
      </c>
      <c r="E9" s="11">
        <v>5000</v>
      </c>
      <c r="F9" s="2">
        <f t="shared" si="0"/>
        <v>40000</v>
      </c>
    </row>
    <row r="10" spans="2:6" x14ac:dyDescent="0.25">
      <c r="B10" s="1" t="s">
        <v>18</v>
      </c>
      <c r="C10" s="8">
        <v>4</v>
      </c>
      <c r="D10" s="8" t="s">
        <v>10</v>
      </c>
      <c r="E10" s="11">
        <v>1100</v>
      </c>
      <c r="F10" s="2">
        <f t="shared" si="0"/>
        <v>4400</v>
      </c>
    </row>
    <row r="11" spans="2:6" x14ac:dyDescent="0.25">
      <c r="B11" s="3" t="s">
        <v>9</v>
      </c>
      <c r="C11" s="9">
        <v>4</v>
      </c>
      <c r="D11" s="9" t="s">
        <v>11</v>
      </c>
      <c r="E11" s="12">
        <v>190000</v>
      </c>
      <c r="F11" s="4">
        <f t="shared" si="0"/>
        <v>760000</v>
      </c>
    </row>
    <row r="12" spans="2:6" x14ac:dyDescent="0.25">
      <c r="C12" s="13" t="s">
        <v>13</v>
      </c>
      <c r="D12" s="13"/>
      <c r="E12" s="13"/>
      <c r="F12" s="6">
        <f>SUM(F5:F11)</f>
        <v>4654400</v>
      </c>
    </row>
    <row r="15" spans="2:6" ht="23.25" x14ac:dyDescent="0.35">
      <c r="B15" s="14" t="s">
        <v>14</v>
      </c>
      <c r="C15" s="14"/>
      <c r="D15" s="14"/>
      <c r="E15" s="14"/>
      <c r="F15" s="14"/>
    </row>
    <row r="17" spans="2:6" x14ac:dyDescent="0.25">
      <c r="B17" s="5" t="s">
        <v>0</v>
      </c>
      <c r="C17" s="13" t="s">
        <v>1</v>
      </c>
      <c r="D17" s="13"/>
      <c r="E17" s="5" t="s">
        <v>2</v>
      </c>
      <c r="F17" s="5" t="s">
        <v>3</v>
      </c>
    </row>
    <row r="18" spans="2:6" x14ac:dyDescent="0.25">
      <c r="B18" s="1" t="s">
        <v>15</v>
      </c>
      <c r="C18" s="7">
        <v>4</v>
      </c>
      <c r="D18" s="7" t="s">
        <v>10</v>
      </c>
      <c r="E18" s="10">
        <v>580000</v>
      </c>
      <c r="F18" s="2">
        <f>E18*C18</f>
        <v>2320000</v>
      </c>
    </row>
    <row r="19" spans="2:6" x14ac:dyDescent="0.25">
      <c r="B19" s="1" t="s">
        <v>16</v>
      </c>
      <c r="C19" s="8">
        <v>1</v>
      </c>
      <c r="D19" s="8" t="s">
        <v>10</v>
      </c>
      <c r="E19" s="11">
        <v>580000</v>
      </c>
      <c r="F19" s="2">
        <f t="shared" ref="F19:F23" si="1">E19*C19</f>
        <v>580000</v>
      </c>
    </row>
    <row r="20" spans="2:6" x14ac:dyDescent="0.25">
      <c r="B20" s="1" t="s">
        <v>17</v>
      </c>
      <c r="C20" s="8">
        <v>1</v>
      </c>
      <c r="D20" s="8" t="s">
        <v>10</v>
      </c>
      <c r="E20" s="11">
        <v>430000</v>
      </c>
      <c r="F20" s="2">
        <f t="shared" si="1"/>
        <v>430000</v>
      </c>
    </row>
    <row r="21" spans="2:6" x14ac:dyDescent="0.25">
      <c r="B21" s="1" t="s">
        <v>7</v>
      </c>
      <c r="C21" s="8">
        <v>1</v>
      </c>
      <c r="D21" s="8" t="s">
        <v>10</v>
      </c>
      <c r="E21" s="11">
        <v>850000</v>
      </c>
      <c r="F21" s="2">
        <f t="shared" si="1"/>
        <v>850000</v>
      </c>
    </row>
    <row r="22" spans="2:6" x14ac:dyDescent="0.25">
      <c r="B22" s="1" t="s">
        <v>19</v>
      </c>
      <c r="C22" s="8">
        <v>10</v>
      </c>
      <c r="D22" s="8" t="s">
        <v>10</v>
      </c>
      <c r="E22" s="11">
        <v>5000</v>
      </c>
      <c r="F22" s="2">
        <f t="shared" si="1"/>
        <v>50000</v>
      </c>
    </row>
    <row r="23" spans="2:6" x14ac:dyDescent="0.25">
      <c r="B23" s="3" t="s">
        <v>9</v>
      </c>
      <c r="C23" s="9">
        <v>4</v>
      </c>
      <c r="D23" s="9" t="s">
        <v>11</v>
      </c>
      <c r="E23" s="12">
        <v>190000</v>
      </c>
      <c r="F23" s="4">
        <f t="shared" si="1"/>
        <v>760000</v>
      </c>
    </row>
    <row r="24" spans="2:6" x14ac:dyDescent="0.25">
      <c r="C24" s="13" t="s">
        <v>13</v>
      </c>
      <c r="D24" s="13"/>
      <c r="E24" s="13"/>
      <c r="F24" s="6">
        <f>SUM(F18:F23)</f>
        <v>4990000</v>
      </c>
    </row>
    <row r="26" spans="2:6" ht="23.25" x14ac:dyDescent="0.35">
      <c r="B26" s="14" t="s">
        <v>20</v>
      </c>
      <c r="C26" s="14"/>
      <c r="D26" s="14"/>
      <c r="E26" s="14"/>
      <c r="F26" s="14"/>
    </row>
    <row r="28" spans="2:6" x14ac:dyDescent="0.25">
      <c r="B28" s="5" t="s">
        <v>0</v>
      </c>
      <c r="C28" s="13" t="s">
        <v>1</v>
      </c>
      <c r="D28" s="13"/>
      <c r="E28" s="5" t="s">
        <v>2</v>
      </c>
      <c r="F28" s="5" t="s">
        <v>3</v>
      </c>
    </row>
    <row r="29" spans="2:6" x14ac:dyDescent="0.25">
      <c r="B29" s="1" t="s">
        <v>21</v>
      </c>
      <c r="C29" s="7">
        <v>4</v>
      </c>
      <c r="D29" s="7" t="s">
        <v>10</v>
      </c>
      <c r="E29" s="10">
        <v>1430000</v>
      </c>
      <c r="F29" s="2">
        <f>E29*C29</f>
        <v>5720000</v>
      </c>
    </row>
    <row r="30" spans="2:6" x14ac:dyDescent="0.25">
      <c r="B30" s="1" t="s">
        <v>16</v>
      </c>
      <c r="C30" s="8">
        <v>1</v>
      </c>
      <c r="D30" s="8" t="s">
        <v>10</v>
      </c>
      <c r="E30" s="11">
        <v>580000</v>
      </c>
      <c r="F30" s="2">
        <f t="shared" ref="F30:F34" si="2">E30*C30</f>
        <v>580000</v>
      </c>
    </row>
    <row r="31" spans="2:6" x14ac:dyDescent="0.25">
      <c r="B31" s="1" t="s">
        <v>17</v>
      </c>
      <c r="C31" s="8">
        <v>1</v>
      </c>
      <c r="D31" s="8" t="s">
        <v>10</v>
      </c>
      <c r="E31" s="11">
        <v>430000</v>
      </c>
      <c r="F31" s="2">
        <f t="shared" si="2"/>
        <v>430000</v>
      </c>
    </row>
    <row r="32" spans="2:6" x14ac:dyDescent="0.25">
      <c r="B32" s="1" t="s">
        <v>7</v>
      </c>
      <c r="C32" s="8">
        <v>1</v>
      </c>
      <c r="D32" s="8" t="s">
        <v>10</v>
      </c>
      <c r="E32" s="11">
        <v>850000</v>
      </c>
      <c r="F32" s="2">
        <f t="shared" si="2"/>
        <v>850000</v>
      </c>
    </row>
    <row r="33" spans="2:6" x14ac:dyDescent="0.25">
      <c r="B33" s="1" t="s">
        <v>19</v>
      </c>
      <c r="C33" s="8">
        <v>10</v>
      </c>
      <c r="D33" s="8" t="s">
        <v>10</v>
      </c>
      <c r="E33" s="11">
        <v>5000</v>
      </c>
      <c r="F33" s="2">
        <f t="shared" si="2"/>
        <v>50000</v>
      </c>
    </row>
    <row r="34" spans="2:6" x14ac:dyDescent="0.25">
      <c r="B34" s="3" t="s">
        <v>9</v>
      </c>
      <c r="C34" s="9">
        <v>4</v>
      </c>
      <c r="D34" s="9" t="s">
        <v>11</v>
      </c>
      <c r="E34" s="12">
        <v>190000</v>
      </c>
      <c r="F34" s="4">
        <f t="shared" si="2"/>
        <v>760000</v>
      </c>
    </row>
    <row r="35" spans="2:6" x14ac:dyDescent="0.25">
      <c r="C35" s="13" t="s">
        <v>13</v>
      </c>
      <c r="D35" s="13"/>
      <c r="E35" s="13"/>
      <c r="F35" s="6">
        <f>SUM(F29:F34)</f>
        <v>8390000</v>
      </c>
    </row>
    <row r="37" spans="2:6" ht="23.25" x14ac:dyDescent="0.35">
      <c r="B37" s="14" t="s">
        <v>22</v>
      </c>
      <c r="C37" s="14"/>
      <c r="D37" s="14"/>
      <c r="E37" s="14"/>
      <c r="F37" s="14"/>
    </row>
    <row r="39" spans="2:6" x14ac:dyDescent="0.25">
      <c r="B39" s="5" t="s">
        <v>0</v>
      </c>
      <c r="C39" s="13" t="s">
        <v>1</v>
      </c>
      <c r="D39" s="13"/>
      <c r="E39" s="5" t="s">
        <v>2</v>
      </c>
      <c r="F39" s="5" t="s">
        <v>3</v>
      </c>
    </row>
    <row r="40" spans="2:6" x14ac:dyDescent="0.25">
      <c r="B40" s="1" t="s">
        <v>23</v>
      </c>
      <c r="C40" s="7">
        <v>4</v>
      </c>
      <c r="D40" s="7" t="s">
        <v>10</v>
      </c>
      <c r="E40" s="10">
        <v>1750000</v>
      </c>
      <c r="F40" s="2">
        <f>E40*C40</f>
        <v>7000000</v>
      </c>
    </row>
    <row r="41" spans="2:6" x14ac:dyDescent="0.25">
      <c r="B41" s="1" t="s">
        <v>16</v>
      </c>
      <c r="C41" s="8">
        <v>1</v>
      </c>
      <c r="D41" s="8" t="s">
        <v>10</v>
      </c>
      <c r="E41" s="11">
        <v>580000</v>
      </c>
      <c r="F41" s="2">
        <f t="shared" ref="F41:F45" si="3">E41*C41</f>
        <v>580000</v>
      </c>
    </row>
    <row r="42" spans="2:6" x14ac:dyDescent="0.25">
      <c r="B42" s="1" t="s">
        <v>17</v>
      </c>
      <c r="C42" s="8">
        <v>1</v>
      </c>
      <c r="D42" s="8" t="s">
        <v>10</v>
      </c>
      <c r="E42" s="11">
        <v>430000</v>
      </c>
      <c r="F42" s="2">
        <f t="shared" si="3"/>
        <v>430000</v>
      </c>
    </row>
    <row r="43" spans="2:6" x14ac:dyDescent="0.25">
      <c r="B43" s="1" t="s">
        <v>7</v>
      </c>
      <c r="C43" s="8">
        <v>1</v>
      </c>
      <c r="D43" s="8" t="s">
        <v>10</v>
      </c>
      <c r="E43" s="11">
        <v>850000</v>
      </c>
      <c r="F43" s="2">
        <f t="shared" si="3"/>
        <v>850000</v>
      </c>
    </row>
    <row r="44" spans="2:6" x14ac:dyDescent="0.25">
      <c r="B44" s="1" t="s">
        <v>19</v>
      </c>
      <c r="C44" s="8">
        <v>10</v>
      </c>
      <c r="D44" s="8" t="s">
        <v>10</v>
      </c>
      <c r="E44" s="11">
        <v>5000</v>
      </c>
      <c r="F44" s="2">
        <f t="shared" si="3"/>
        <v>50000</v>
      </c>
    </row>
    <row r="45" spans="2:6" x14ac:dyDescent="0.25">
      <c r="B45" s="3" t="s">
        <v>9</v>
      </c>
      <c r="C45" s="9">
        <v>4</v>
      </c>
      <c r="D45" s="9" t="s">
        <v>11</v>
      </c>
      <c r="E45" s="12">
        <v>190000</v>
      </c>
      <c r="F45" s="4">
        <f t="shared" si="3"/>
        <v>760000</v>
      </c>
    </row>
    <row r="46" spans="2:6" x14ac:dyDescent="0.25">
      <c r="C46" s="13" t="s">
        <v>13</v>
      </c>
      <c r="D46" s="13"/>
      <c r="E46" s="13"/>
      <c r="F46" s="6">
        <f>SUM(F40:F45)</f>
        <v>9670000</v>
      </c>
    </row>
  </sheetData>
  <mergeCells count="12">
    <mergeCell ref="C46:E46"/>
    <mergeCell ref="C4:D4"/>
    <mergeCell ref="B2:F2"/>
    <mergeCell ref="C12:E12"/>
    <mergeCell ref="B15:F15"/>
    <mergeCell ref="C17:D17"/>
    <mergeCell ref="C24:E24"/>
    <mergeCell ref="B26:F26"/>
    <mergeCell ref="C28:D28"/>
    <mergeCell ref="C35:E35"/>
    <mergeCell ref="B37:F37"/>
    <mergeCell ref="C39:D39"/>
  </mergeCells>
  <pageMargins left="0.7" right="0.7" top="0.75" bottom="0.75" header="0.3" footer="0.3"/>
  <pageSetup paperSize="256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2025-05-08T08:54:48Z</dcterms:created>
  <dcterms:modified xsi:type="dcterms:W3CDTF">2025-05-08T09:09:59Z</dcterms:modified>
</cp:coreProperties>
</file>